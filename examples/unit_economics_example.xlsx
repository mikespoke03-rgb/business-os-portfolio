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RU_FBO" sheetId="3" state="visible" r:id="rId3"/>
    <sheet name="Foreign_entity" sheetId="4" state="visible" r:id="rId4"/>
    <sheet name="Crossborder" sheetId="5" state="visible" r:id="rId5"/>
    <sheet name="OwnStore" sheetId="6" state="visible" r:id="rId6"/>
    <sheet name="Compare" sheetId="7" state="visible" r:id="rId7"/>
  </sheets>
  <definedNames>
    <definedName name="supplier_usd">Inputs!$B$2</definedName>
    <definedName name="usd_rub">Inputs!$B$3</definedName>
    <definedName name="usd_local">Inputs!$B$4</definedName>
    <definedName name="fx_fees">Inputs!$B$5</definedName>
    <definedName name="freight_ru_rub">Inputs!$B$6</definedName>
    <definedName name="duty">Inputs!$B$7</definedName>
    <definedName name="vat_ru">Inputs!$B$8</definedName>
    <definedName name="pack_rub">Inputs!$B$9</definedName>
    <definedName name="ru_price">Inputs!$B$10</definedName>
    <definedName name="ru_comm">Inputs!$B$11</definedName>
    <definedName name="ru_logi">Inputs!$B$12</definedName>
    <definedName name="acq">Inputs!$B$13</definedName>
    <definedName name="ads">Inputs!$B$14</definedName>
    <definedName name="vat_base_share">Inputs!$B$15</definedName>
    <definedName name="fe_price_rub">Inputs!$B$16</definedName>
    <definedName name="fe_comm">Inputs!$B$17</definedName>
    <definedName name="fe_logi_rub">Inputs!$B$18</definedName>
    <definedName name="fe_freight_rub">Inputs!$B$19</definedName>
    <definedName name="fe_vat_import">Inputs!$B$20</definedName>
    <definedName name="fe_ru_vat_on_top">Inputs!$B$21</definedName>
    <definedName name="fe_fixed_per_unit_rub">Inputs!$B$22</definedName>
    <definedName name="cb_price_rub">Inputs!$B$23</definedName>
    <definedName name="cb_platform_fee">Inputs!$B$24</definedName>
    <definedName name="cb_parcel_rub">Inputs!$B$25</definedName>
    <definedName name="cb_duty_share">Inputs!$B$26</definedName>
    <definedName name="own_price_rub">Inputs!$B$27</definedName>
    <definedName name="own_delivery_rub">Inputs!$B$28</definedName>
    <definedName name="own_return_share">Inputs!$B$29</definedName>
    <definedName name="own_cac_1">Inputs!$B$30</definedName>
    <definedName name="own_cac_2">Inputs!$B$31</definedName>
    <definedName name="own_cac_3">Inputs!$B$32</definedName>
    <definedName name="target_margin">Inputs!$B$33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DemoBrand - unit economics by sales channel (ILLUSTRATIVE, synthetic numbers).</t>
        </is>
      </c>
    </row>
    <row r="2">
      <c r="A2" t="inlineStr">
        <is>
          <t>Yellow cells on 'Inputs' are assumptions; everything else recalculates with formulas.</t>
        </is>
      </c>
    </row>
    <row r="3">
      <c r="A3" t="inlineStr">
        <is>
          <t>Margin = per bought-out unit, before profit tax. Tax/customs logic is simplified - verify before use.</t>
        </is>
      </c>
    </row>
    <row r="4">
      <c r="A4" t="inlineStr">
        <is>
          <t>Sheets: RU_FBO (base), Foreign_entity (a foreign company sells to RU buyers), Crossborder, OwnStore (3 CAC scenarios), Compare.</t>
        </is>
      </c>
    </row>
    <row r="5">
      <c r="A5" t="inlineStr">
        <is>
          <t>The Compare sheet only reflects the synthetic inputs - it is not a conclusion about any real channel.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supplier_usd</t>
        </is>
      </c>
      <c r="B2" s="2" t="n">
        <v>4.8</v>
      </c>
      <c r="C2" t="inlineStr">
        <is>
          <t>Supplier price per unit, USD (synthetic)</t>
        </is>
      </c>
    </row>
    <row r="3">
      <c r="A3" t="inlineStr">
        <is>
          <t>usd_rub</t>
        </is>
      </c>
      <c r="B3" s="2" t="n">
        <v>90</v>
      </c>
      <c r="C3" t="inlineStr">
        <is>
          <t>USD/RUB rate used in the model (illustrative)</t>
        </is>
      </c>
    </row>
    <row r="4">
      <c r="A4" t="inlineStr">
        <is>
          <t>usd_local</t>
        </is>
      </c>
      <c r="B4" s="2" t="n">
        <v>480</v>
      </c>
      <c r="C4" t="inlineStr">
        <is>
          <t>USD to foreign-entity local currency rate (illustrative)</t>
        </is>
      </c>
    </row>
    <row r="5">
      <c r="A5" t="inlineStr">
        <is>
          <t>fx_fees</t>
        </is>
      </c>
      <c r="B5" s="2" t="n">
        <v>0.03</v>
      </c>
      <c r="C5" t="inlineStr">
        <is>
          <t>Bank + payment agent + FX markup, share of purchase</t>
        </is>
      </c>
    </row>
    <row r="6">
      <c r="A6" t="inlineStr">
        <is>
          <t>freight_ru_rub</t>
        </is>
      </c>
      <c r="B6" s="2" t="n">
        <v>45</v>
      </c>
      <c r="C6" t="inlineStr">
        <is>
          <t>Freight to RU warehouse per unit, RUB</t>
        </is>
      </c>
    </row>
    <row r="7">
      <c r="A7" t="inlineStr">
        <is>
          <t>duty</t>
        </is>
      </c>
      <c r="B7" s="2" t="n">
        <v>0.065</v>
      </c>
      <c r="C7" t="inlineStr">
        <is>
          <t>Import duty rate (illustrative)</t>
        </is>
      </c>
    </row>
    <row r="8">
      <c r="A8" t="inlineStr">
        <is>
          <t>vat_ru</t>
        </is>
      </c>
      <c r="B8" t="n">
        <v>0.22</v>
      </c>
      <c r="C8" t="inlineStr">
        <is>
          <t>VAT rate RU (verify current law)</t>
        </is>
      </c>
    </row>
    <row r="9">
      <c r="A9" t="inlineStr">
        <is>
          <t>pack_rub</t>
        </is>
      </c>
      <c r="B9" s="2" t="n">
        <v>25</v>
      </c>
      <c r="C9" t="inlineStr">
        <is>
          <t>Packaging / labelling per unit, RUB</t>
        </is>
      </c>
    </row>
    <row r="10">
      <c r="A10" t="inlineStr">
        <is>
          <t>ru_price</t>
        </is>
      </c>
      <c r="B10" s="2" t="n">
        <v>1990</v>
      </c>
      <c r="C10" t="inlineStr">
        <is>
          <t>RU marketplace seller price, RUB</t>
        </is>
      </c>
    </row>
    <row r="11">
      <c r="A11" t="inlineStr">
        <is>
          <t>ru_comm</t>
        </is>
      </c>
      <c r="B11" s="2" t="n">
        <v>0.28</v>
      </c>
      <c r="C11" t="inlineStr">
        <is>
          <t>RU marketplace commission (FBO), share</t>
        </is>
      </c>
    </row>
    <row r="12">
      <c r="A12" t="inlineStr">
        <is>
          <t>ru_logi</t>
        </is>
      </c>
      <c r="B12" s="2" t="n">
        <v>95</v>
      </c>
      <c r="C12" t="inlineStr">
        <is>
          <t>RU marketplace logistics per unit, RUB</t>
        </is>
      </c>
    </row>
    <row r="13">
      <c r="A13" t="inlineStr">
        <is>
          <t>acq</t>
        </is>
      </c>
      <c r="B13" s="2" t="n">
        <v>0.015</v>
      </c>
      <c r="C13" t="inlineStr">
        <is>
          <t>Acquiring / payment processing, share</t>
        </is>
      </c>
    </row>
    <row r="14">
      <c r="A14" t="inlineStr">
        <is>
          <t>ads</t>
        </is>
      </c>
      <c r="B14" s="2" t="n">
        <v>0.08</v>
      </c>
      <c r="C14" t="inlineStr">
        <is>
          <t>Ads cost, share of price (CPC + pay-per-order)</t>
        </is>
      </c>
    </row>
    <row r="15">
      <c r="A15" t="inlineStr">
        <is>
          <t>vat_base_share</t>
        </is>
      </c>
      <c r="B15" s="2" t="n">
        <v>0.5</v>
      </c>
      <c r="C15" t="inlineStr">
        <is>
          <t>Share of seller price used as VAT base in the RU model</t>
        </is>
      </c>
    </row>
    <row r="16">
      <c r="A16" t="inlineStr">
        <is>
          <t>fe_price_rub</t>
        </is>
      </c>
      <c r="B16" s="2" t="n">
        <v>1990</v>
      </c>
      <c r="C16" t="inlineStr">
        <is>
          <t>Foreign entity -&gt; RU buyer: seller price, RUB</t>
        </is>
      </c>
    </row>
    <row r="17">
      <c r="A17" t="inlineStr">
        <is>
          <t>fe_comm</t>
        </is>
      </c>
      <c r="B17" s="2" t="n">
        <v>0.12</v>
      </c>
      <c r="C17" t="inlineStr">
        <is>
          <t>Marketplace commission under the foreign-seller contract, share</t>
        </is>
      </c>
    </row>
    <row r="18">
      <c r="A18" t="inlineStr">
        <is>
          <t>fe_logi_rub</t>
        </is>
      </c>
      <c r="B18" s="2" t="n">
        <v>140</v>
      </c>
      <c r="C18" t="inlineStr">
        <is>
          <t>Logistics foreign warehouse -&gt; RU buyer per unit, RUB</t>
        </is>
      </c>
    </row>
    <row r="19">
      <c r="A19" t="inlineStr">
        <is>
          <t>fe_freight_rub</t>
        </is>
      </c>
      <c r="B19" s="2" t="n">
        <v>38</v>
      </c>
      <c r="C19" t="inlineStr">
        <is>
          <t>Freight to foreign warehouse per unit, RUB</t>
        </is>
      </c>
    </row>
    <row r="20">
      <c r="A20" t="inlineStr">
        <is>
          <t>fe_vat_import</t>
        </is>
      </c>
      <c r="B20" s="2" t="n">
        <v>0.16</v>
      </c>
      <c r="C20" t="inlineStr">
        <is>
          <t>Foreign import VAT (assumed creditable -&gt; cash-flow cost only)</t>
        </is>
      </c>
    </row>
    <row r="21">
      <c r="A21" t="inlineStr">
        <is>
          <t>fe_ru_vat_on_top</t>
        </is>
      </c>
      <c r="B21" s="2" t="n">
        <v>0.22</v>
      </c>
      <c r="C21" t="inlineStr">
        <is>
          <t>RU VAT charged on top of the price for a foreign seller (verify)</t>
        </is>
      </c>
    </row>
    <row r="22">
      <c r="A22" t="inlineStr">
        <is>
          <t>fe_fixed_per_unit_rub</t>
        </is>
      </c>
      <c r="B22" s="2" t="n">
        <v>22</v>
      </c>
      <c r="C22" t="inlineStr">
        <is>
          <t>Certification + broker + local entity costs, amortised per unit, RUB</t>
        </is>
      </c>
    </row>
    <row r="23">
      <c r="A23" t="inlineStr">
        <is>
          <t>cb_price_rub</t>
        </is>
      </c>
      <c r="B23" s="2" t="n">
        <v>1990</v>
      </c>
      <c r="C23" t="inlineStr">
        <is>
          <t>Cross-border seller -&gt; RU buyer: price, RUB</t>
        </is>
      </c>
    </row>
    <row r="24">
      <c r="A24" t="inlineStr">
        <is>
          <t>cb_platform_fee</t>
        </is>
      </c>
      <c r="B24" s="2" t="n">
        <v>0.18</v>
      </c>
      <c r="C24" t="inlineStr">
        <is>
          <t>Cross-border platform fee, share</t>
        </is>
      </c>
    </row>
    <row r="25">
      <c r="A25" t="inlineStr">
        <is>
          <t>cb_parcel_rub</t>
        </is>
      </c>
      <c r="B25" s="2" t="n">
        <v>260</v>
      </c>
      <c r="C25" t="inlineStr">
        <is>
          <t>International parcel per unit, RUB</t>
        </is>
      </c>
    </row>
    <row r="26">
      <c r="A26" t="inlineStr">
        <is>
          <t>cb_duty_share</t>
        </is>
      </c>
      <c r="B26" s="2" t="n">
        <v>0</v>
      </c>
      <c r="C26" t="inlineStr">
        <is>
          <t>Share of orders above the duty-free threshold</t>
        </is>
      </c>
    </row>
    <row r="27">
      <c r="A27" t="inlineStr">
        <is>
          <t>own_price_rub</t>
        </is>
      </c>
      <c r="B27" s="2" t="n">
        <v>1790</v>
      </c>
      <c r="C27" t="inlineStr">
        <is>
          <t>Own web store price, RUB</t>
        </is>
      </c>
    </row>
    <row r="28">
      <c r="A28" t="inlineStr">
        <is>
          <t>own_delivery_rub</t>
        </is>
      </c>
      <c r="B28" s="2" t="n">
        <v>160</v>
      </c>
      <c r="C28" t="inlineStr">
        <is>
          <t>Delivery to pick-up point per order, RUB</t>
        </is>
      </c>
    </row>
    <row r="29">
      <c r="A29" t="inlineStr">
        <is>
          <t>own_return_share</t>
        </is>
      </c>
      <c r="B29" s="2" t="n">
        <v>0.05</v>
      </c>
      <c r="C29" t="inlineStr">
        <is>
          <t>Non-buyout / return share</t>
        </is>
      </c>
    </row>
    <row r="30">
      <c r="A30" t="inlineStr">
        <is>
          <t>own_cac_1</t>
        </is>
      </c>
      <c r="B30" s="2" t="n">
        <v>0</v>
      </c>
      <c r="C30" t="inlineStr">
        <is>
          <t>CAC scenario 1, RUB per order</t>
        </is>
      </c>
    </row>
    <row r="31">
      <c r="A31" t="inlineStr">
        <is>
          <t>own_cac_2</t>
        </is>
      </c>
      <c r="B31" s="2" t="n">
        <v>300</v>
      </c>
      <c r="C31" t="inlineStr">
        <is>
          <t>CAC scenario 2, RUB per order</t>
        </is>
      </c>
    </row>
    <row r="32">
      <c r="A32" t="inlineStr">
        <is>
          <t>own_cac_3</t>
        </is>
      </c>
      <c r="B32" s="2" t="n">
        <v>600</v>
      </c>
      <c r="C32" t="inlineStr">
        <is>
          <t>CAC scenario 3, RUB per order</t>
        </is>
      </c>
    </row>
    <row r="33">
      <c r="A33" t="inlineStr">
        <is>
          <t>target_margin</t>
        </is>
      </c>
      <c r="B33" s="2" t="n">
        <v>0.15</v>
      </c>
      <c r="C33" t="inlineStr">
        <is>
          <t>Target margin share used for the 'price needed'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RU marketplace, FBO (base case)</t>
        </is>
      </c>
    </row>
    <row r="2">
      <c r="A2" s="1" t="inlineStr">
        <is>
          <t>Line</t>
        </is>
      </c>
      <c r="B2" s="1" t="inlineStr">
        <is>
          <t>RUB per unit</t>
        </is>
      </c>
      <c r="C2" s="1" t="inlineStr">
        <is>
          <t>Formula logic</t>
        </is>
      </c>
    </row>
    <row r="3">
      <c r="A3" t="inlineStr">
        <is>
          <t>Purchase, RUB</t>
        </is>
      </c>
      <c r="B3">
        <f>supplier_usd*usd_rub*(1+fx_fees)</f>
        <v/>
      </c>
      <c r="C3" t="inlineStr">
        <is>
          <t>supplier price x FX x (1 + bank/agent/FX fees)</t>
        </is>
      </c>
    </row>
    <row r="4">
      <c r="A4" t="inlineStr">
        <is>
          <t>Freight to RU</t>
        </is>
      </c>
      <c r="B4">
        <f>freight_ru_rub</f>
        <v/>
      </c>
      <c r="C4" t="inlineStr">
        <is>
          <t>input</t>
        </is>
      </c>
    </row>
    <row r="5">
      <c r="A5" t="inlineStr">
        <is>
          <t>Duty</t>
        </is>
      </c>
      <c r="B5">
        <f>(B3+B4)*duty</f>
        <v/>
      </c>
      <c r="C5" t="inlineStr">
        <is>
          <t>(purchase + freight) x duty</t>
        </is>
      </c>
    </row>
    <row r="6">
      <c r="A6" t="inlineStr">
        <is>
          <t>Packaging</t>
        </is>
      </c>
      <c r="B6">
        <f>pack_rub</f>
        <v/>
      </c>
      <c r="C6" t="inlineStr">
        <is>
          <t>input</t>
        </is>
      </c>
    </row>
    <row r="7">
      <c r="A7" t="inlineStr">
        <is>
          <t>COGS ex import VAT</t>
        </is>
      </c>
      <c r="B7">
        <f>B3+B4+B5+B6</f>
        <v/>
      </c>
      <c r="C7" t="inlineStr">
        <is>
          <t>sum</t>
        </is>
      </c>
    </row>
    <row r="8">
      <c r="A8" t="inlineStr">
        <is>
          <t>Import VAT (creditable)</t>
        </is>
      </c>
      <c r="B8">
        <f>(B3+B4+B5)*vat_ru</f>
        <v/>
      </c>
      <c r="C8" t="inlineStr">
        <is>
          <t>customs value x VAT; reduces VAT payable</t>
        </is>
      </c>
    </row>
    <row r="9">
      <c r="A9" t="inlineStr">
        <is>
          <t>Seller price</t>
        </is>
      </c>
      <c r="B9">
        <f>ru_price</f>
        <v/>
      </c>
      <c r="C9" t="inlineStr">
        <is>
          <t>input</t>
        </is>
      </c>
    </row>
    <row r="10">
      <c r="A10" t="inlineStr">
        <is>
          <t>Marketplace commission</t>
        </is>
      </c>
      <c r="B10">
        <f>B9*ru_comm</f>
        <v/>
      </c>
      <c r="C10" t="inlineStr">
        <is>
          <t>price x commission</t>
        </is>
      </c>
    </row>
    <row r="11">
      <c r="A11" t="inlineStr">
        <is>
          <t>Logistics</t>
        </is>
      </c>
      <c r="B11">
        <f>ru_logi</f>
        <v/>
      </c>
      <c r="C11" t="inlineStr">
        <is>
          <t>input</t>
        </is>
      </c>
    </row>
    <row r="12">
      <c r="A12" t="inlineStr">
        <is>
          <t>Acquiring</t>
        </is>
      </c>
      <c r="B12">
        <f>B9*acq</f>
        <v/>
      </c>
      <c r="C12" t="inlineStr">
        <is>
          <t>price x rate</t>
        </is>
      </c>
    </row>
    <row r="13">
      <c r="A13" t="inlineStr">
        <is>
          <t>Ads</t>
        </is>
      </c>
      <c r="B13">
        <f>B9*ads</f>
        <v/>
      </c>
      <c r="C13" t="inlineStr">
        <is>
          <t>price x ads share</t>
        </is>
      </c>
    </row>
    <row r="14">
      <c r="A14" t="inlineStr">
        <is>
          <t>VAT payable (model)</t>
        </is>
      </c>
      <c r="B14">
        <f>B9*vat_base_share*vat_ru/(1+vat_ru)-B8</f>
        <v/>
      </c>
      <c r="C14" t="inlineStr">
        <is>
          <t>price x base share x 22/122 - import VAT</t>
        </is>
      </c>
    </row>
    <row r="15">
      <c r="A15" s="1" t="inlineStr">
        <is>
          <t>MARGIN, RUB</t>
        </is>
      </c>
      <c r="B15" s="3">
        <f>B9-B10-B11-B12-B13-B14-B7</f>
        <v/>
      </c>
      <c r="C15" t="inlineStr">
        <is>
          <t>price - all lines - COGS</t>
        </is>
      </c>
    </row>
    <row r="16">
      <c r="A16" s="1" t="inlineStr">
        <is>
          <t>MARGIN, % of price</t>
        </is>
      </c>
      <c r="B16" s="3">
        <f>B15/B9</f>
        <v/>
      </c>
      <c r="C16" t="inlineStr"/>
    </row>
    <row r="17">
      <c r="A17" s="1" t="inlineStr">
        <is>
          <t>Price needed for target margin</t>
        </is>
      </c>
      <c r="B17" s="3">
        <f>(B11+B7-B8)/(1-ru_comm-acq-ads-vat_base_share*vat_ru/(1+vat_ru)-target_margin)</f>
        <v/>
      </c>
      <c r="C17" t="inlineStr">
        <is>
          <t>solves margin = target x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Foreign entity selling to RU buyers through the marketplace foreign-seller contract (simplified)</t>
        </is>
      </c>
    </row>
    <row r="2">
      <c r="A2" s="1" t="inlineStr">
        <is>
          <t>Line</t>
        </is>
      </c>
      <c r="B2" s="1" t="inlineStr">
        <is>
          <t>RUB per unit</t>
        </is>
      </c>
      <c r="C2" s="1" t="inlineStr">
        <is>
          <t>Formula logic</t>
        </is>
      </c>
    </row>
    <row r="3">
      <c r="A3" t="inlineStr">
        <is>
          <t>Purchase, RUB</t>
        </is>
      </c>
      <c r="B3">
        <f>supplier_usd*usd_rub*(1+fx_fees)</f>
        <v/>
      </c>
      <c r="C3" t="inlineStr">
        <is>
          <t>same supplier price</t>
        </is>
      </c>
    </row>
    <row r="4">
      <c r="A4" t="inlineStr">
        <is>
          <t>Freight to foreign warehouse</t>
        </is>
      </c>
      <c r="B4">
        <f>fe_freight_rub</f>
        <v/>
      </c>
      <c r="C4" t="inlineStr">
        <is>
          <t>input</t>
        </is>
      </c>
    </row>
    <row r="5">
      <c r="A5" t="inlineStr">
        <is>
          <t>Duty (foreign)</t>
        </is>
      </c>
      <c r="B5">
        <f>(B3+B4)*duty</f>
        <v/>
      </c>
      <c r="C5" t="inlineStr">
        <is>
          <t>illustrative common tariff</t>
        </is>
      </c>
    </row>
    <row r="6">
      <c r="A6" t="inlineStr">
        <is>
          <t>Packaging</t>
        </is>
      </c>
      <c r="B6">
        <f>pack_rub</f>
        <v/>
      </c>
      <c r="C6" t="inlineStr">
        <is>
          <t>input</t>
        </is>
      </c>
    </row>
    <row r="7">
      <c r="A7" t="inlineStr">
        <is>
          <t>COGS</t>
        </is>
      </c>
      <c r="B7">
        <f>B3+B4+B5+B6</f>
        <v/>
      </c>
      <c r="C7" t="inlineStr">
        <is>
          <t>sum</t>
        </is>
      </c>
    </row>
    <row r="8">
      <c r="A8" t="inlineStr">
        <is>
          <t>Foreign import VAT (cash-flow only)</t>
        </is>
      </c>
      <c r="B8">
        <f>(B3+B4+B5)*fe_vat_import</f>
        <v/>
      </c>
      <c r="C8" t="inlineStr">
        <is>
          <t>assumed creditable; shown, not deducted</t>
        </is>
      </c>
    </row>
    <row r="9">
      <c r="A9" t="inlineStr">
        <is>
          <t>Seller price</t>
        </is>
      </c>
      <c r="B9">
        <f>fe_price_rub</f>
        <v/>
      </c>
      <c r="C9" t="inlineStr">
        <is>
          <t>input</t>
        </is>
      </c>
    </row>
    <row r="10">
      <c r="A10" t="inlineStr">
        <is>
          <t>RU VAT on top (paid by buyer, remitted)</t>
        </is>
      </c>
      <c r="B10">
        <f>B9*fe_ru_vat_on_top</f>
        <v/>
      </c>
      <c r="C10" t="inlineStr">
        <is>
          <t>not seller income</t>
        </is>
      </c>
    </row>
    <row r="11">
      <c r="A11" t="inlineStr">
        <is>
          <t>Marketplace commission</t>
        </is>
      </c>
      <c r="B11">
        <f>B9*fe_comm</f>
        <v/>
      </c>
      <c r="C11" t="inlineStr">
        <is>
          <t>price x commission</t>
        </is>
      </c>
    </row>
    <row r="12">
      <c r="A12" t="inlineStr">
        <is>
          <t>Logistics foreign warehouse -&gt; RU buyer</t>
        </is>
      </c>
      <c r="B12">
        <f>fe_logi_rub</f>
        <v/>
      </c>
      <c r="C12" t="inlineStr">
        <is>
          <t>input</t>
        </is>
      </c>
    </row>
    <row r="13">
      <c r="A13" t="inlineStr">
        <is>
          <t>Acquiring + ads</t>
        </is>
      </c>
      <c r="B13">
        <f>B9*(acq+ads)</f>
        <v/>
      </c>
      <c r="C13" t="inlineStr"/>
    </row>
    <row r="14">
      <c r="A14" t="inlineStr">
        <is>
          <t>Entity / certification costs per unit</t>
        </is>
      </c>
      <c r="B14">
        <f>fe_fixed_per_unit_rub</f>
        <v/>
      </c>
      <c r="C14" t="inlineStr">
        <is>
          <t>amortised</t>
        </is>
      </c>
    </row>
    <row r="15">
      <c r="A15" s="1" t="inlineStr">
        <is>
          <t>MARGIN, RUB</t>
        </is>
      </c>
      <c r="B15" s="3">
        <f>B9-B11-B12-B13-B14-B7</f>
        <v/>
      </c>
      <c r="C15" t="inlineStr">
        <is>
          <t>price - lines - COGS</t>
        </is>
      </c>
    </row>
    <row r="16">
      <c r="A16" s="1" t="inlineStr">
        <is>
          <t>MARGIN, % of price</t>
        </is>
      </c>
      <c r="B16" s="3">
        <f>B15/B9</f>
        <v/>
      </c>
      <c r="C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Foreign company, cross-border parcels to RU buyers (simplified)</t>
        </is>
      </c>
    </row>
    <row r="2">
      <c r="A2" s="1" t="inlineStr">
        <is>
          <t>Line</t>
        </is>
      </c>
      <c r="B2" s="1" t="inlineStr">
        <is>
          <t>RUB per unit</t>
        </is>
      </c>
      <c r="C2" s="1" t="inlineStr">
        <is>
          <t>Formula logic</t>
        </is>
      </c>
    </row>
    <row r="3">
      <c r="A3" t="inlineStr">
        <is>
          <t>Purchase, RUB</t>
        </is>
      </c>
      <c r="B3">
        <f>supplier_usd*usd_rub*(1+fx_fees)</f>
        <v/>
      </c>
      <c r="C3" t="inlineStr">
        <is>
          <t>same supplier price</t>
        </is>
      </c>
    </row>
    <row r="4">
      <c r="A4" t="inlineStr">
        <is>
          <t>International parcel</t>
        </is>
      </c>
      <c r="B4">
        <f>cb_parcel_rub</f>
        <v/>
      </c>
      <c r="C4" t="inlineStr">
        <is>
          <t>per unit</t>
        </is>
      </c>
    </row>
    <row r="5">
      <c r="A5" t="inlineStr">
        <is>
          <t>Expected duty</t>
        </is>
      </c>
      <c r="B5">
        <f>cb_duty_share*B9*duty</f>
        <v/>
      </c>
      <c r="C5" t="inlineStr">
        <is>
          <t>only orders above the threshold</t>
        </is>
      </c>
    </row>
    <row r="6">
      <c r="A6" t="inlineStr">
        <is>
          <t>Packaging</t>
        </is>
      </c>
      <c r="B6">
        <f>pack_rub</f>
        <v/>
      </c>
      <c r="C6" t="inlineStr">
        <is>
          <t>input</t>
        </is>
      </c>
    </row>
    <row r="7">
      <c r="A7" t="inlineStr">
        <is>
          <t>COGS (landed at buyer)</t>
        </is>
      </c>
      <c r="B7">
        <f>B3+B4+B6</f>
        <v/>
      </c>
      <c r="C7" t="inlineStr">
        <is>
          <t>duty kept separate</t>
        </is>
      </c>
    </row>
    <row r="8">
      <c r="A8" t="inlineStr">
        <is>
          <t>(no RU import VAT for the seller)</t>
        </is>
      </c>
      <c r="B8" t="n">
        <v>0</v>
      </c>
      <c r="C8" t="inlineStr">
        <is>
          <t>cross-border parcel model</t>
        </is>
      </c>
    </row>
    <row r="9">
      <c r="A9" t="inlineStr">
        <is>
          <t>Price</t>
        </is>
      </c>
      <c r="B9">
        <f>cb_price_rub</f>
        <v/>
      </c>
      <c r="C9" t="inlineStr">
        <is>
          <t>input</t>
        </is>
      </c>
    </row>
    <row r="10">
      <c r="A10" t="inlineStr">
        <is>
          <t>Platform fee</t>
        </is>
      </c>
      <c r="B10">
        <f>B9*cb_platform_fee</f>
        <v/>
      </c>
      <c r="C10" t="inlineStr">
        <is>
          <t>price x fee</t>
        </is>
      </c>
    </row>
    <row r="11">
      <c r="A11" t="inlineStr">
        <is>
          <t>Acquiring + ads</t>
        </is>
      </c>
      <c r="B11">
        <f>B9*(acq+ads)</f>
        <v/>
      </c>
      <c r="C11" t="inlineStr"/>
    </row>
    <row r="12">
      <c r="A12" s="1" t="inlineStr">
        <is>
          <t>MARGIN, RUB</t>
        </is>
      </c>
      <c r="B12" s="3">
        <f>B9-B10-B11-B5-B7</f>
        <v/>
      </c>
      <c r="C12" t="inlineStr">
        <is>
          <t>price - fee - acq/ads - duty - COGS</t>
        </is>
      </c>
    </row>
    <row r="13">
      <c r="A13" s="1" t="inlineStr">
        <is>
          <t>MARGIN, % of price</t>
        </is>
      </c>
      <c r="B13" s="3">
        <f>B12/B9</f>
        <v/>
      </c>
      <c r="C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70" customWidth="1" min="3" max="3"/>
  </cols>
  <sheetData>
    <row r="1">
      <c r="A1" s="1" t="inlineStr">
        <is>
          <t>Own web store + marketplace delivery service (stock stays at the FBO warehouse)</t>
        </is>
      </c>
    </row>
    <row r="2">
      <c r="A2" s="1" t="inlineStr">
        <is>
          <t>Line</t>
        </is>
      </c>
      <c r="B2" s="1" t="inlineStr">
        <is>
          <t>RUB per unit</t>
        </is>
      </c>
      <c r="C2" s="1" t="inlineStr">
        <is>
          <t>Formula logic</t>
        </is>
      </c>
    </row>
    <row r="3">
      <c r="A3" t="inlineStr">
        <is>
          <t>Purchase, RUB</t>
        </is>
      </c>
      <c r="B3">
        <f>supplier_usd*usd_rub*(1+fx_fees)</f>
        <v/>
      </c>
      <c r="C3" t="inlineStr">
        <is>
          <t>supplier price x FX x (1 + bank/agent/FX fees)</t>
        </is>
      </c>
    </row>
    <row r="4">
      <c r="A4" t="inlineStr">
        <is>
          <t>Freight to RU</t>
        </is>
      </c>
      <c r="B4">
        <f>freight_ru_rub</f>
        <v/>
      </c>
      <c r="C4" t="inlineStr">
        <is>
          <t>input</t>
        </is>
      </c>
    </row>
    <row r="5">
      <c r="A5" t="inlineStr">
        <is>
          <t>Duty</t>
        </is>
      </c>
      <c r="B5">
        <f>(B3+B4)*duty</f>
        <v/>
      </c>
      <c r="C5" t="inlineStr">
        <is>
          <t>(purchase + freight) x duty</t>
        </is>
      </c>
    </row>
    <row r="6">
      <c r="A6" t="inlineStr">
        <is>
          <t>Packaging</t>
        </is>
      </c>
      <c r="B6">
        <f>pack_rub</f>
        <v/>
      </c>
      <c r="C6" t="inlineStr">
        <is>
          <t>input</t>
        </is>
      </c>
    </row>
    <row r="7">
      <c r="A7" t="inlineStr">
        <is>
          <t>COGS ex import VAT</t>
        </is>
      </c>
      <c r="B7">
        <f>B3+B4+B5+B6</f>
        <v/>
      </c>
      <c r="C7" t="inlineStr">
        <is>
          <t>sum</t>
        </is>
      </c>
    </row>
    <row r="8">
      <c r="A8" t="inlineStr">
        <is>
          <t>Import VAT (creditable)</t>
        </is>
      </c>
      <c r="B8">
        <f>(B3+B4+B5)*vat_ru</f>
        <v/>
      </c>
      <c r="C8" t="inlineStr">
        <is>
          <t>customs value x VAT; reduces VAT payable</t>
        </is>
      </c>
    </row>
    <row r="9">
      <c r="A9" t="inlineStr">
        <is>
          <t>Price (buyer pays)</t>
        </is>
      </c>
      <c r="B9">
        <f>own_price_rub</f>
        <v/>
      </c>
      <c r="C9" t="inlineStr">
        <is>
          <t>input</t>
        </is>
      </c>
    </row>
    <row r="10">
      <c r="A10" t="inlineStr">
        <is>
          <t>Acquiring</t>
        </is>
      </c>
      <c r="B10">
        <f>B9*acq</f>
        <v/>
      </c>
      <c r="C10" t="inlineStr"/>
    </row>
    <row r="11">
      <c r="A11" t="inlineStr">
        <is>
          <t>Delivery to pick-up point</t>
        </is>
      </c>
      <c r="B11">
        <f>own_delivery_rub</f>
        <v/>
      </c>
      <c r="C11" t="inlineStr">
        <is>
          <t>seller pays delivery</t>
        </is>
      </c>
    </row>
    <row r="12">
      <c r="A12" t="inlineStr">
        <is>
          <t>Returns: lost delivery on non-buyouts</t>
        </is>
      </c>
      <c r="B12">
        <f>own_return_share/(1-own_return_share)*own_delivery_rub</f>
        <v/>
      </c>
      <c r="C12" t="inlineStr">
        <is>
          <t>per bought-out unit</t>
        </is>
      </c>
    </row>
    <row r="13">
      <c r="A13" t="inlineStr">
        <is>
          <t>VAT payable</t>
        </is>
      </c>
      <c r="B13">
        <f>B9*vat_ru/(1+vat_ru)-B8</f>
        <v/>
      </c>
      <c r="C13" t="inlineStr">
        <is>
          <t>full price is the VAT base</t>
        </is>
      </c>
    </row>
    <row r="14">
      <c r="A14" s="1" t="inlineStr">
        <is>
          <t>Margin before CAC</t>
        </is>
      </c>
      <c r="B14" s="3">
        <f>B9-B10-B11-B12-B13-B7</f>
        <v/>
      </c>
      <c r="C14" t="inlineStr"/>
    </row>
    <row r="15">
      <c r="A15" s="1" t="inlineStr">
        <is>
          <t>MARGIN, CAC scenario 1</t>
        </is>
      </c>
      <c r="B15" s="3">
        <f>B14-own_cac_1</f>
        <v/>
      </c>
      <c r="C15" t="inlineStr"/>
    </row>
    <row r="16">
      <c r="A16" s="1" t="inlineStr">
        <is>
          <t>MARGIN, CAC scenario 2</t>
        </is>
      </c>
      <c r="B16" s="3">
        <f>B14-own_cac_2</f>
        <v/>
      </c>
      <c r="C16" t="inlineStr"/>
    </row>
    <row r="17">
      <c r="A17" s="1" t="inlineStr">
        <is>
          <t>MARGIN, CAC scenario 3</t>
        </is>
      </c>
      <c r="B17" s="3">
        <f>B14-own_cac_3</f>
        <v/>
      </c>
      <c r="C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Channel</t>
        </is>
      </c>
      <c r="B1" s="1" t="inlineStr">
        <is>
          <t>Price, RUB</t>
        </is>
      </c>
      <c r="C1" s="1" t="inlineStr">
        <is>
          <t>Margin, RUB</t>
        </is>
      </c>
      <c r="D1" s="1" t="inlineStr">
        <is>
          <t>Margin, %</t>
        </is>
      </c>
    </row>
    <row r="2">
      <c r="A2" t="inlineStr">
        <is>
          <t>RU FBO</t>
        </is>
      </c>
      <c r="B2">
        <f>RU_FBO!B9</f>
        <v/>
      </c>
      <c r="C2">
        <f>RU_FBO!B15</f>
        <v/>
      </c>
      <c r="D2" s="3">
        <f>C2/B2</f>
        <v/>
      </c>
    </row>
    <row r="3">
      <c r="A3" t="inlineStr">
        <is>
          <t>Foreign entity</t>
        </is>
      </c>
      <c r="B3">
        <f>Foreign_entity!B9</f>
        <v/>
      </c>
      <c r="C3">
        <f>Foreign_entity!B15</f>
        <v/>
      </c>
      <c r="D3" s="3">
        <f>C3/B3</f>
        <v/>
      </c>
    </row>
    <row r="4">
      <c r="A4" t="inlineStr">
        <is>
          <t>Cross-border</t>
        </is>
      </c>
      <c r="B4">
        <f>Crossborder!B9</f>
        <v/>
      </c>
      <c r="C4">
        <f>Crossborder!B12</f>
        <v/>
      </c>
      <c r="D4" s="3">
        <f>C4/B4</f>
        <v/>
      </c>
    </row>
    <row r="5">
      <c r="A5" t="inlineStr">
        <is>
          <t>Own store, CAC 2</t>
        </is>
      </c>
      <c r="B5">
        <f>OwnStore!B9</f>
        <v/>
      </c>
      <c r="C5">
        <f>OwnStore!B16</f>
        <v/>
      </c>
      <c r="D5" s="3">
        <f>C5/B5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DemoBrand synthetic example</dc:creator>
  <dcterms:created xsi:type="dcterms:W3CDTF">2026-01-01T00:00:00Z</dcterms:created>
  <dcterms:modified xsi:type="dcterms:W3CDTF">2026-01-01T00:00:00Z</dcterms:modified>
</cp:coreProperties>
</file>